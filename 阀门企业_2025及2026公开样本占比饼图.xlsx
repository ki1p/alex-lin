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BJ\Documents\Codex\2026-10-14\new-chat-10\outputs\"/>
    </mc:Choice>
  </mc:AlternateContent>
  <xr:revisionPtr revIDLastSave="0" documentId="13_ncr:1_{8446C5B7-2ACD-40AB-9B65-998C8AE0B2C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样本图索引" sheetId="1" r:id="rId1"/>
    <sheet name="2025_SGON" sheetId="2" r:id="rId2"/>
    <sheet name="2025_天津银河" sheetId="3" r:id="rId3"/>
    <sheet name="2026_公元管道" sheetId="4" r:id="rId4"/>
    <sheet name="交易明细与来源" sheetId="5" r:id="rId5"/>
  </sheets>
  <calcPr calcId="181029"/>
</workbook>
</file>

<file path=xl/calcChain.xml><?xml version="1.0" encoding="utf-8"?>
<calcChain xmlns="http://schemas.openxmlformats.org/spreadsheetml/2006/main">
  <c r="E9" i="1" l="1"/>
  <c r="B8" i="4" s="1"/>
  <c r="C8" i="4" s="1"/>
  <c r="D8" i="4" s="1"/>
  <c r="C9" i="1"/>
  <c r="E8" i="1"/>
  <c r="B8" i="3" s="1"/>
  <c r="C8" i="3" s="1"/>
  <c r="D8" i="3" s="1"/>
  <c r="C8" i="1"/>
  <c r="E7" i="1"/>
  <c r="B8" i="2" s="1"/>
  <c r="C8" i="2" s="1"/>
  <c r="D8" i="2" s="1"/>
  <c r="C7" i="1"/>
</calcChain>
</file>

<file path=xl/sharedStrings.xml><?xml version="1.0" encoding="utf-8"?>
<sst xmlns="http://schemas.openxmlformats.org/spreadsheetml/2006/main" count="122" uniqueCount="87">
  <si>
    <t>2025与2026年企业国别样本饼图</t>
  </si>
  <si>
    <t>不是全部出口占比。无可比金额的公司期间组合已跳过。</t>
  </si>
  <si>
    <t>公司/供应商</t>
  </si>
  <si>
    <t>年份</t>
  </si>
  <si>
    <t>金额样本条数</t>
  </si>
  <si>
    <t>目的国数</t>
  </si>
  <si>
    <t>样本金额合计USD</t>
  </si>
  <si>
    <t>最早样本日期</t>
  </si>
  <si>
    <t>最新样本日期</t>
  </si>
  <si>
    <t>图表工作表</t>
  </si>
  <si>
    <t>WENZHOU SGON VALVE CO., LTD</t>
  </si>
  <si>
    <t>2025_SGON</t>
  </si>
  <si>
    <t>天津银河阀门有限公司</t>
  </si>
  <si>
    <t>2025_天津银河</t>
  </si>
  <si>
    <t>公元管道（浙江）有限公司</t>
  </si>
  <si>
    <t>2026_公元管道</t>
  </si>
  <si>
    <t>本次生成3张图：2025年2张，2026年1张。</t>
  </si>
  <si>
    <t>每张图只有1条明确金额样本、1个目的国；哥伦比亚100%不代表公司全部出口。</t>
  </si>
  <si>
    <t>天津银河：2025-07-31；SGON：2025-05-26；公元：2026-03-09。</t>
  </si>
  <si>
    <t>公元与SGON为交易线索中的补充供应商；中文主体未核验的供应商保留英文名称。</t>
  </si>
  <si>
    <t>交易日期、CIF金额、明细标识、来源和核实状态见“交易明细与来源”。</t>
  </si>
  <si>
    <t>2025年公开样本国别金额占比；不是全部出口占比。</t>
  </si>
  <si>
    <t>金额样本：1条；样本日期：2025-05-26；美元CIF金额。</t>
  </si>
  <si>
    <t>仅1个目的国；100%仅指当前样本，不代表公司只向该国出口。</t>
  </si>
  <si>
    <t>目的国</t>
  </si>
  <si>
    <t>样本CIF金额USD</t>
  </si>
  <si>
    <t>样本金额占比</t>
  </si>
  <si>
    <t>图例</t>
  </si>
  <si>
    <t>哥伦比亚</t>
  </si>
  <si>
    <t>不是全部出口占比；未知国家及未公开交易未纳入分母。</t>
  </si>
  <si>
    <t>来源：ImportGenius搜索返回全文；直接页面超时，待单证复核。</t>
  </si>
  <si>
    <t>https://www.importgenius.cn/colombia/suppliers/wenzhou-sgon-valve-co-ltd</t>
  </si>
  <si>
    <t>来源链接及明细标识见“交易明细与来源”；另一年份无明确金额样本，已跳过。</t>
  </si>
  <si>
    <t>金额样本：1条；样本日期：2025-07-31；美元CIF金额。</t>
  </si>
  <si>
    <t>来源：Panjiva公开样本；CIF展示金额取整。</t>
  </si>
  <si>
    <t>https://cn.panjiva.com/Tianjin-Galaxy-Valve-Co-Ltd/97562203</t>
  </si>
  <si>
    <t>2026年公开样本国别金额占比；不是全部出口占比。</t>
  </si>
  <si>
    <t>金额样本：1条；样本日期：2026-03-09；美元CIF金额。</t>
  </si>
  <si>
    <t>https://www.importgenius.cn/colombia/importers/eagers-a-s</t>
  </si>
  <si>
    <t>公开阀门交易样本与来源</t>
  </si>
  <si>
    <t>仅纳入有明确美元CIF金额的2025/2026样本；不代表完整出口数据。</t>
  </si>
  <si>
    <t>公司显示名称</t>
  </si>
  <si>
    <t>英文供应商</t>
  </si>
  <si>
    <t>交易日期</t>
  </si>
  <si>
    <t>HS编码</t>
  </si>
  <si>
    <t>产品范围</t>
  </si>
  <si>
    <t>CIF金额（美元）</t>
  </si>
  <si>
    <t>记录/明细标识</t>
  </si>
  <si>
    <t>来源链接</t>
  </si>
  <si>
    <t>本轮核实状态</t>
  </si>
  <si>
    <t>备注</t>
  </si>
  <si>
    <t>8481805900</t>
  </si>
  <si>
    <t>阀门明细项，70件</t>
  </si>
  <si>
    <t>599498228D / DECL 1918487</t>
  </si>
  <si>
    <t>搜索返回全文可见；直接页面超时，待单证复核</t>
  </si>
  <si>
    <t>CIF美元；该票第4项，不能视为整票总额；逐条明细，非整票/全年总额</t>
  </si>
  <si>
    <t>TIANJIN GALAXY VALVE CO., LTD.</t>
  </si>
  <si>
    <t>8481809900</t>
  </si>
  <si>
    <t>HS 8481阀门；详细商品描述被遮挡</t>
  </si>
  <si>
    <t>352025001177874</t>
  </si>
  <si>
    <t>源页面可见；平台明细，非官方单证</t>
  </si>
  <si>
    <t>CIF美元，平台展示值取整；仅这一条记录；逐条明细，非整票/全年总额</t>
  </si>
  <si>
    <t>ERA PIPING (ZHEJIANG) CO., LTD.</t>
  </si>
  <si>
    <t>8481300000</t>
  </si>
  <si>
    <t>止回阀</t>
  </si>
  <si>
    <t>NGP3103882 / DECLARACION 34</t>
  </si>
  <si>
    <t>CIF美元；FOB为7951.74，未混用；仅这一条记录；逐条明细，非整票/全年总额</t>
  </si>
  <si>
    <t>筛选口径</t>
  </si>
  <si>
    <t>分母</t>
  </si>
  <si>
    <t>同一供应商、同一年、已收集并纳入的美元CIF明细金额之和。</t>
  </si>
  <si>
    <t>分子</t>
  </si>
  <si>
    <t>同一供应商、同一年、目的国相同的已纳入样本金额之和。</t>
  </si>
  <si>
    <t>2025年与2026年单独分组。2026数据只到各公司最新样本日期，不等于覆盖至检索日。</t>
  </si>
  <si>
    <t>数据范围</t>
  </si>
  <si>
    <t>来自仓库59条公开交易线索，共纳入3条金额样本、3个供应商；无金额或币种/估价口径不明确的56条跳过。</t>
  </si>
  <si>
    <t>图中100%</t>
  </si>
  <si>
    <t>每家公司当前金额样本只覆盖哥伦比亚；100%只表示当前已收集样本中该国占比，不表示该公司只出口该国。</t>
  </si>
  <si>
    <t>企业范围</t>
  </si>
  <si>
    <t>公元管道及SGON来自仓库交易线索，未与487条企业名录强制合并。SGON中文法人主体未核验，保留英文供应商名称。</t>
  </si>
  <si>
    <t>精度</t>
  </si>
  <si>
    <t>天津银河CIF页面展示取整为8930美元，其他两条保留平台展示小数；不把海关价值8930.49与CIF展示值混写。</t>
  </si>
  <si>
    <t>日期与状态</t>
  </si>
  <si>
    <t>检索日2026-10-14。ImportGenius两条金额通过搜索返回全文复核，直接页面超时，保留待单证复核状态。</t>
  </si>
  <si>
    <t>去重</t>
  </si>
  <si>
    <t>按供应商、日期、目的国、明细编号、HS码去重，不重复计算同一笔记录；不把同一票全部货物混作该明细金额。</t>
  </si>
  <si>
    <t>未纳入金额</t>
  </si>
  <si>
    <t>不把缺失金额写成0；不将币种不明的交易价格视为美元；没有可用金额的公司期间组合不画图。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</si>
</sst>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10">
    <font>
      <sz val="11"/>
      <name val="Carlito"/>
    </font>
    <font>
      <sz val="11"/>
      <color rgb="FF243547"/>
      <name val="Microsoft YaHei"/>
      <family val="2"/>
      <charset val="134"/>
    </font>
    <font>
      <b/>
      <sz val="16"/>
      <color rgb="FF17365D"/>
      <name val="Microsoft YaHei"/>
      <family val="2"/>
      <charset val="134"/>
    </font>
    <font>
      <sz val="11"/>
      <color rgb="FF924E00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17365D"/>
      <name val="Microsoft YaHei"/>
      <family val="2"/>
      <charset val="134"/>
    </font>
    <font>
      <b/>
      <sz val="11"/>
      <color rgb="FF924E00"/>
      <name val="Microsoft YaHei"/>
      <family val="2"/>
      <charset val="134"/>
    </font>
    <font>
      <sz val="9"/>
      <color rgb="FF52647A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1" fillId="0" borderId="0" xfId="1" applyFont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4" fontId="1" fillId="0" borderId="0" xfId="1" applyNumberFormat="1" applyFont="1" applyAlignment="1">
      <alignment vertical="center" wrapText="1"/>
    </xf>
    <xf numFmtId="0" fontId="5" fillId="0" borderId="0" xfId="1" applyFont="1" applyAlignment="1">
      <alignment vertical="center"/>
    </xf>
    <xf numFmtId="4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177" fontId="1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sz="1350">
                <a:latin typeface="Microsoft YaHei"/>
                <a:ea typeface="Microsoft YaHei"/>
                <a:cs typeface="Microsoft YaHei"/>
              </a:rPr>
              <a:t>2025年：当前公开样本占比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样本金额占比</c:v>
          </c:tx>
          <c:spPr>
            <a:solidFill>
              <a:srgbClr val="267FAD"/>
            </a:solidFill>
          </c:spPr>
          <c:cat>
            <c:strRef>
              <c:f>'2025_SGON'!$D$8</c:f>
              <c:strCache>
                <c:ptCount val="1"/>
                <c:pt idx="0">
                  <c:v>哥伦比亚 100%（样本）</c:v>
                </c:pt>
              </c:strCache>
            </c:strRef>
          </c:cat>
          <c:val>
            <c:numRef>
              <c:f>'2025_SGON'!$C$8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D-48D2-8396-8D34070E2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1125">
              <a:latin typeface="Microsoft YaHei"/>
              <a:ea typeface="Microsoft YaHei"/>
              <a:cs typeface="Microsoft YaHei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sz="1350">
                <a:latin typeface="Microsoft YaHei"/>
                <a:ea typeface="Microsoft YaHei"/>
                <a:cs typeface="Microsoft YaHei"/>
              </a:rPr>
              <a:t>2025年：当前公开样本占比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样本金额占比</c:v>
          </c:tx>
          <c:spPr>
            <a:solidFill>
              <a:srgbClr val="267FAD"/>
            </a:solidFill>
          </c:spPr>
          <c:cat>
            <c:strRef>
              <c:f>'2025_天津银河'!$D$8</c:f>
              <c:strCache>
                <c:ptCount val="1"/>
                <c:pt idx="0">
                  <c:v>哥伦比亚 100%（样本）</c:v>
                </c:pt>
              </c:strCache>
            </c:strRef>
          </c:cat>
          <c:val>
            <c:numRef>
              <c:f>'2025_天津银河'!$C$8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8-4E9C-8D95-549E538D9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1125">
              <a:latin typeface="Microsoft YaHei"/>
              <a:ea typeface="Microsoft YaHei"/>
              <a:cs typeface="Microsoft YaHei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sz="1350">
                <a:latin typeface="Microsoft YaHei"/>
                <a:ea typeface="Microsoft YaHei"/>
                <a:cs typeface="Microsoft YaHei"/>
              </a:rPr>
              <a:t>2026年：当前公开样本占比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样本金额占比</c:v>
          </c:tx>
          <c:spPr>
            <a:solidFill>
              <a:srgbClr val="267FAD"/>
            </a:solidFill>
          </c:spPr>
          <c:cat>
            <c:strRef>
              <c:f>'2026_公元管道'!$D$8</c:f>
              <c:strCache>
                <c:ptCount val="1"/>
                <c:pt idx="0">
                  <c:v>哥伦比亚 100%（样本）</c:v>
                </c:pt>
              </c:strCache>
            </c:strRef>
          </c:cat>
          <c:val>
            <c:numRef>
              <c:f>'2026_公元管道'!$C$8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3-4848-B484-F37FB6879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1125">
              <a:latin typeface="Microsoft YaHei"/>
              <a:ea typeface="Microsoft YaHei"/>
              <a:cs typeface="Microsoft YaHei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cAmountSamples" displayName="PublicAmountSamples" ref="A6:L9" totalsRowShown="0">
  <tableColumns count="12">
    <tableColumn id="1" xr3:uid="{00000000-0010-0000-0000-000001000000}" name="公司显示名称"/>
    <tableColumn id="2" xr3:uid="{00000000-0010-0000-0000-000002000000}" name="英文供应商"/>
    <tableColumn id="3" xr3:uid="{00000000-0010-0000-0000-000003000000}" name="交易日期"/>
    <tableColumn id="4" xr3:uid="{00000000-0010-0000-0000-000004000000}" name="年份"/>
    <tableColumn id="5" xr3:uid="{00000000-0010-0000-0000-000005000000}" name="目的国"/>
    <tableColumn id="6" xr3:uid="{00000000-0010-0000-0000-000006000000}" name="HS编码"/>
    <tableColumn id="7" xr3:uid="{00000000-0010-0000-0000-000007000000}" name="产品范围"/>
    <tableColumn id="8" xr3:uid="{00000000-0010-0000-0000-000008000000}" name="CIF金额（美元）"/>
    <tableColumn id="9" xr3:uid="{00000000-0010-0000-0000-000009000000}" name="记录/明细标识"/>
    <tableColumn id="10" xr3:uid="{00000000-0010-0000-0000-00000A000000}" name="来源链接"/>
    <tableColumn id="11" xr3:uid="{00000000-0010-0000-0000-00000B000000}" name="本轮核实状态"/>
    <tableColumn id="12" xr3:uid="{00000000-0010-0000-0000-00000C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H25"/>
  <sheetViews>
    <sheetView showGridLines="0" tabSelected="1" workbookViewId="0"/>
  </sheetViews>
  <sheetFormatPr defaultRowHeight="14.25"/>
  <cols>
    <col min="1" max="1" width="45" customWidth="1"/>
    <col min="2" max="2" width="12" customWidth="1"/>
    <col min="3" max="3" width="20" customWidth="1"/>
    <col min="4" max="4" width="18" customWidth="1"/>
    <col min="5" max="5" width="24" customWidth="1"/>
    <col min="6" max="7" width="21" customWidth="1"/>
    <col min="8" max="8" width="25" customWidth="1"/>
  </cols>
  <sheetData>
    <row r="1" spans="1:8" ht="26.1" customHeight="1">
      <c r="A1" s="1"/>
      <c r="B1" s="1"/>
      <c r="C1" s="1"/>
      <c r="D1" s="1"/>
      <c r="E1" s="1"/>
      <c r="F1" s="1"/>
      <c r="G1" s="1"/>
      <c r="H1" s="1"/>
    </row>
    <row r="2" spans="1:8" ht="26.1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8" ht="26.1" customHeight="1">
      <c r="A3" s="3" t="s">
        <v>1</v>
      </c>
      <c r="B3" s="1"/>
      <c r="C3" s="1"/>
      <c r="D3" s="1"/>
      <c r="E3" s="1"/>
      <c r="F3" s="1"/>
      <c r="G3" s="1"/>
      <c r="H3" s="1"/>
    </row>
    <row r="4" spans="1:8" ht="26.1" customHeight="1">
      <c r="A4" s="1"/>
      <c r="B4" s="1"/>
      <c r="C4" s="1"/>
      <c r="D4" s="1"/>
      <c r="E4" s="1"/>
      <c r="F4" s="1"/>
      <c r="G4" s="1"/>
      <c r="H4" s="1"/>
    </row>
    <row r="5" spans="1:8" ht="26.1" customHeight="1">
      <c r="A5" s="1"/>
      <c r="B5" s="1"/>
      <c r="C5" s="1"/>
      <c r="D5" s="1"/>
      <c r="E5" s="1"/>
      <c r="F5" s="1"/>
      <c r="G5" s="1"/>
      <c r="H5" s="1"/>
    </row>
    <row r="6" spans="1:8" ht="30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8" ht="50.1" customHeight="1">
      <c r="A7" s="5" t="s">
        <v>10</v>
      </c>
      <c r="B7" s="1">
        <v>2025</v>
      </c>
      <c r="C7" s="1">
        <f>COUNTIFS(交易明细与来源!$A$7:$A$9,A7,交易明细与来源!$D$7:$D$9,B7)</f>
        <v>1</v>
      </c>
      <c r="D7" s="1">
        <v>1</v>
      </c>
      <c r="E7" s="9">
        <f>SUMIFS(交易明细与来源!$H$7:$H$9,交易明细与来源!$A$7:$A$9,A7,交易明细与来源!$D$7:$D$9,B7)</f>
        <v>775.63</v>
      </c>
      <c r="F7" s="10">
        <v>45803</v>
      </c>
      <c r="G7" s="10">
        <v>45803</v>
      </c>
      <c r="H7" s="1" t="s">
        <v>11</v>
      </c>
    </row>
    <row r="8" spans="1:8" ht="50.1" customHeight="1">
      <c r="A8" s="5" t="s">
        <v>12</v>
      </c>
      <c r="B8" s="1">
        <v>2025</v>
      </c>
      <c r="C8" s="1">
        <f>COUNTIFS(交易明细与来源!$A$7:$A$9,A8,交易明细与来源!$D$7:$D$9,B8)</f>
        <v>1</v>
      </c>
      <c r="D8" s="1">
        <v>1</v>
      </c>
      <c r="E8" s="9">
        <f>SUMIFS(交易明细与来源!$H$7:$H$9,交易明细与来源!$A$7:$A$9,A8,交易明细与来源!$D$7:$D$9,B8)</f>
        <v>8930</v>
      </c>
      <c r="F8" s="10">
        <v>45869</v>
      </c>
      <c r="G8" s="10">
        <v>45869</v>
      </c>
      <c r="H8" s="1" t="s">
        <v>13</v>
      </c>
    </row>
    <row r="9" spans="1:8" ht="50.1" customHeight="1">
      <c r="A9" s="5" t="s">
        <v>14</v>
      </c>
      <c r="B9" s="1">
        <v>2026</v>
      </c>
      <c r="C9" s="1">
        <f>COUNTIFS(交易明细与来源!$A$7:$A$9,A9,交易明细与来源!$D$7:$D$9,B9)</f>
        <v>1</v>
      </c>
      <c r="D9" s="1">
        <v>1</v>
      </c>
      <c r="E9" s="9">
        <f>SUMIFS(交易明细与来源!$H$7:$H$9,交易明细与来源!$A$7:$A$9,A9,交易明细与来源!$D$7:$D$9,B9)</f>
        <v>8477.1299999999992</v>
      </c>
      <c r="F9" s="10">
        <v>46090</v>
      </c>
      <c r="G9" s="10">
        <v>46090</v>
      </c>
      <c r="H9" s="1" t="s">
        <v>15</v>
      </c>
    </row>
    <row r="10" spans="1:8" ht="26.1" customHeight="1">
      <c r="A10" s="1"/>
      <c r="B10" s="1"/>
      <c r="C10" s="1"/>
      <c r="D10" s="1"/>
      <c r="E10" s="1"/>
      <c r="F10" s="1"/>
      <c r="G10" s="1"/>
      <c r="H10" s="1"/>
    </row>
    <row r="11" spans="1:8" ht="26.1" customHeight="1">
      <c r="A11" s="1"/>
      <c r="B11" s="1"/>
      <c r="C11" s="1"/>
      <c r="D11" s="1"/>
      <c r="E11" s="1"/>
      <c r="F11" s="1"/>
      <c r="G11" s="1"/>
      <c r="H11" s="1"/>
    </row>
    <row r="12" spans="1:8" ht="26.1" customHeight="1">
      <c r="A12" s="1" t="s">
        <v>16</v>
      </c>
      <c r="B12" s="1"/>
      <c r="C12" s="1"/>
      <c r="D12" s="1"/>
      <c r="E12" s="1"/>
      <c r="F12" s="1"/>
      <c r="G12" s="1"/>
      <c r="H12" s="1"/>
    </row>
    <row r="13" spans="1:8" ht="26.1" customHeight="1">
      <c r="A13" s="1"/>
      <c r="B13" s="1"/>
      <c r="C13" s="1"/>
      <c r="D13" s="1"/>
      <c r="E13" s="1"/>
      <c r="F13" s="1"/>
      <c r="G13" s="1"/>
      <c r="H13" s="1"/>
    </row>
    <row r="14" spans="1:8" ht="26.1" customHeight="1">
      <c r="A14" s="1" t="s">
        <v>17</v>
      </c>
      <c r="B14" s="1"/>
      <c r="C14" s="1"/>
      <c r="D14" s="1"/>
      <c r="E14" s="1"/>
      <c r="F14" s="1"/>
      <c r="G14" s="1"/>
      <c r="H14" s="1"/>
    </row>
    <row r="15" spans="1:8" ht="26.1" customHeight="1">
      <c r="A15" s="1"/>
      <c r="B15" s="1"/>
      <c r="C15" s="1"/>
      <c r="D15" s="1"/>
      <c r="E15" s="1"/>
      <c r="F15" s="1"/>
      <c r="G15" s="1"/>
      <c r="H15" s="1"/>
    </row>
    <row r="16" spans="1:8" ht="26.1" customHeight="1">
      <c r="A16" s="1" t="s">
        <v>18</v>
      </c>
      <c r="B16" s="1"/>
      <c r="C16" s="1"/>
      <c r="D16" s="1"/>
      <c r="E16" s="1"/>
      <c r="F16" s="1"/>
      <c r="G16" s="1"/>
      <c r="H16" s="1"/>
    </row>
    <row r="17" spans="1:8" ht="26.1" customHeight="1">
      <c r="A17" s="1"/>
      <c r="B17" s="1"/>
      <c r="C17" s="1"/>
      <c r="D17" s="1"/>
      <c r="E17" s="1"/>
      <c r="F17" s="1"/>
      <c r="G17" s="1"/>
      <c r="H17" s="1"/>
    </row>
    <row r="18" spans="1:8" ht="26.1" customHeight="1">
      <c r="A18" s="1" t="s">
        <v>19</v>
      </c>
      <c r="B18" s="1"/>
      <c r="C18" s="1"/>
      <c r="D18" s="1"/>
      <c r="E18" s="1"/>
      <c r="F18" s="1"/>
      <c r="G18" s="1"/>
      <c r="H18" s="1"/>
    </row>
    <row r="19" spans="1:8" ht="26.1" customHeight="1">
      <c r="A19" s="1"/>
      <c r="B19" s="1"/>
      <c r="C19" s="1"/>
      <c r="D19" s="1"/>
      <c r="E19" s="1"/>
      <c r="F19" s="1"/>
      <c r="G19" s="1"/>
      <c r="H19" s="1"/>
    </row>
    <row r="20" spans="1:8" ht="26.1" customHeight="1">
      <c r="A20" s="1" t="s">
        <v>20</v>
      </c>
      <c r="B20" s="1"/>
      <c r="C20" s="1"/>
      <c r="D20" s="1"/>
      <c r="E20" s="1"/>
      <c r="F20" s="1"/>
      <c r="G20" s="1"/>
      <c r="H20" s="1"/>
    </row>
    <row r="21" spans="1:8" ht="26.1" customHeight="1">
      <c r="A21" s="1"/>
      <c r="B21" s="1"/>
      <c r="C21" s="1"/>
      <c r="D21" s="1"/>
      <c r="E21" s="1"/>
      <c r="F21" s="1"/>
      <c r="G21" s="1"/>
      <c r="H21" s="1"/>
    </row>
    <row r="22" spans="1:8" ht="26.1" customHeight="1">
      <c r="A22" s="1"/>
      <c r="B22" s="1"/>
      <c r="C22" s="1"/>
      <c r="D22" s="1"/>
      <c r="E22" s="1"/>
      <c r="F22" s="1"/>
      <c r="G22" s="1"/>
      <c r="H22" s="1"/>
    </row>
    <row r="23" spans="1:8" ht="26.1" customHeight="1">
      <c r="A23" s="1"/>
      <c r="B23" s="1"/>
      <c r="C23" s="1"/>
      <c r="D23" s="1"/>
      <c r="E23" s="1"/>
      <c r="F23" s="1"/>
      <c r="G23" s="1"/>
      <c r="H23" s="1"/>
    </row>
    <row r="24" spans="1:8" ht="26.1" customHeight="1">
      <c r="A24" s="1"/>
      <c r="B24" s="1"/>
      <c r="C24" s="1"/>
      <c r="D24" s="1"/>
      <c r="E24" s="1"/>
      <c r="F24" s="1"/>
      <c r="G24" s="1"/>
      <c r="H24" s="1"/>
    </row>
    <row r="25" spans="1:8" ht="26.1" customHeight="1">
      <c r="A25" s="1"/>
      <c r="B25" s="1"/>
      <c r="C25" s="1"/>
      <c r="D25" s="1"/>
      <c r="E25" s="1"/>
      <c r="F25" s="1"/>
      <c r="G25" s="1"/>
      <c r="H25" s="1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F35"/>
  <sheetViews>
    <sheetView showGridLines="0" workbookViewId="0"/>
  </sheetViews>
  <sheetFormatPr defaultRowHeight="14.25"/>
  <cols>
    <col min="1" max="1" width="22" customWidth="1"/>
    <col min="2" max="5" width="23" customWidth="1"/>
    <col min="6" max="6" width="24" customWidth="1"/>
  </cols>
  <sheetData>
    <row r="1" spans="1:6" ht="26.1" customHeight="1">
      <c r="A1" s="1"/>
      <c r="B1" s="1"/>
      <c r="C1" s="1"/>
      <c r="D1" s="1"/>
      <c r="E1" s="1"/>
      <c r="F1" s="1"/>
    </row>
    <row r="2" spans="1:6" ht="26.1" customHeight="1">
      <c r="A2" s="2" t="s">
        <v>10</v>
      </c>
      <c r="B2" s="1"/>
      <c r="C2" s="1"/>
      <c r="D2" s="1"/>
      <c r="E2" s="1"/>
      <c r="F2" s="1"/>
    </row>
    <row r="3" spans="1:6" ht="26.1" customHeight="1">
      <c r="A3" s="3" t="s">
        <v>21</v>
      </c>
      <c r="B3" s="1"/>
      <c r="C3" s="1"/>
      <c r="D3" s="1"/>
      <c r="E3" s="1"/>
      <c r="F3" s="1"/>
    </row>
    <row r="4" spans="1:6" ht="26.1" customHeight="1">
      <c r="A4" s="1" t="s">
        <v>22</v>
      </c>
      <c r="B4" s="1"/>
      <c r="C4" s="1"/>
      <c r="D4" s="1"/>
      <c r="E4" s="1"/>
      <c r="F4" s="1"/>
    </row>
    <row r="5" spans="1:6" ht="26.1" customHeight="1">
      <c r="A5" s="11" t="s">
        <v>23</v>
      </c>
      <c r="B5" s="1"/>
      <c r="C5" s="1"/>
      <c r="D5" s="1"/>
      <c r="E5" s="1"/>
      <c r="F5" s="1"/>
    </row>
    <row r="6" spans="1:6" ht="26.1" customHeight="1">
      <c r="A6" s="1"/>
      <c r="B6" s="1"/>
      <c r="C6" s="1"/>
      <c r="D6" s="1"/>
      <c r="E6" s="1"/>
      <c r="F6" s="1"/>
    </row>
    <row r="7" spans="1:6" ht="30" customHeight="1">
      <c r="A7" s="4" t="s">
        <v>24</v>
      </c>
      <c r="B7" s="4" t="s">
        <v>25</v>
      </c>
      <c r="C7" s="4" t="s">
        <v>26</v>
      </c>
      <c r="D7" s="4" t="s">
        <v>27</v>
      </c>
      <c r="E7" s="1"/>
      <c r="F7" s="1"/>
    </row>
    <row r="8" spans="1:6" ht="33.950000000000003" customHeight="1">
      <c r="A8" s="1" t="s">
        <v>28</v>
      </c>
      <c r="B8" s="9">
        <f>样本图索引!E7</f>
        <v>775.63</v>
      </c>
      <c r="C8" s="12">
        <f>B8/样本图索引!E7</f>
        <v>1</v>
      </c>
      <c r="D8" s="1" t="str">
        <f>A8&amp;" "&amp;TEXT(C8,"0%")&amp;"（样本）"</f>
        <v>哥伦比亚 100%（样本）</v>
      </c>
      <c r="E8" s="1"/>
      <c r="F8" s="1"/>
    </row>
    <row r="9" spans="1:6" ht="26.1" customHeight="1">
      <c r="A9" s="1"/>
      <c r="B9" s="1"/>
      <c r="C9" s="1"/>
      <c r="D9" s="1"/>
      <c r="E9" s="1"/>
      <c r="F9" s="1"/>
    </row>
    <row r="10" spans="1:6" ht="26.1" customHeight="1">
      <c r="A10" s="1"/>
      <c r="B10" s="1"/>
      <c r="C10" s="1"/>
      <c r="D10" s="1"/>
      <c r="E10" s="1"/>
      <c r="F10" s="1"/>
    </row>
    <row r="11" spans="1:6" ht="26.1" customHeight="1">
      <c r="A11" s="1"/>
      <c r="B11" s="1"/>
      <c r="C11" s="1"/>
      <c r="D11" s="1"/>
      <c r="E11" s="1"/>
      <c r="F11" s="1"/>
    </row>
    <row r="12" spans="1:6" ht="26.1" customHeight="1">
      <c r="A12" s="1"/>
      <c r="B12" s="1"/>
      <c r="C12" s="1"/>
      <c r="D12" s="1"/>
      <c r="E12" s="1"/>
      <c r="F12" s="1"/>
    </row>
    <row r="13" spans="1:6" ht="26.1" customHeight="1">
      <c r="A13" s="1"/>
      <c r="B13" s="1"/>
      <c r="C13" s="1"/>
      <c r="D13" s="1"/>
      <c r="E13" s="1"/>
      <c r="F13" s="1"/>
    </row>
    <row r="14" spans="1:6" ht="26.1" customHeight="1">
      <c r="A14" s="1"/>
      <c r="B14" s="1"/>
      <c r="C14" s="1"/>
      <c r="D14" s="1"/>
      <c r="E14" s="1"/>
      <c r="F14" s="1"/>
    </row>
    <row r="15" spans="1:6" ht="26.1" customHeight="1">
      <c r="A15" s="1"/>
      <c r="B15" s="1"/>
      <c r="C15" s="1"/>
      <c r="D15" s="1"/>
      <c r="E15" s="1"/>
      <c r="F15" s="1"/>
    </row>
    <row r="16" spans="1:6" ht="26.1" customHeight="1">
      <c r="A16" s="1"/>
      <c r="B16" s="1"/>
      <c r="C16" s="1"/>
      <c r="D16" s="1"/>
      <c r="E16" s="1"/>
      <c r="F16" s="1"/>
    </row>
    <row r="17" spans="1:6" ht="26.1" customHeight="1">
      <c r="A17" s="1"/>
      <c r="B17" s="1"/>
      <c r="C17" s="1"/>
      <c r="D17" s="1"/>
      <c r="E17" s="1"/>
      <c r="F17" s="1"/>
    </row>
    <row r="18" spans="1:6" ht="26.1" customHeight="1">
      <c r="A18" s="1"/>
      <c r="B18" s="1"/>
      <c r="C18" s="1"/>
      <c r="D18" s="1"/>
      <c r="E18" s="1"/>
      <c r="F18" s="1"/>
    </row>
    <row r="19" spans="1:6" ht="26.1" customHeight="1">
      <c r="A19" s="1"/>
      <c r="B19" s="1"/>
      <c r="C19" s="1"/>
      <c r="D19" s="1"/>
      <c r="E19" s="1"/>
      <c r="F19" s="1"/>
    </row>
    <row r="20" spans="1:6" ht="26.1" customHeight="1">
      <c r="A20" s="1"/>
      <c r="B20" s="1"/>
      <c r="C20" s="1"/>
      <c r="D20" s="1"/>
      <c r="E20" s="1"/>
      <c r="F20" s="1"/>
    </row>
    <row r="21" spans="1:6" ht="26.1" customHeight="1">
      <c r="A21" s="1"/>
      <c r="B21" s="1"/>
      <c r="C21" s="1"/>
      <c r="D21" s="1"/>
      <c r="E21" s="1"/>
      <c r="F21" s="1"/>
    </row>
    <row r="22" spans="1:6" ht="26.1" customHeight="1">
      <c r="A22" s="1"/>
      <c r="B22" s="1"/>
      <c r="C22" s="1"/>
      <c r="D22" s="1"/>
      <c r="E22" s="1"/>
      <c r="F22" s="1"/>
    </row>
    <row r="23" spans="1:6" ht="26.1" customHeight="1">
      <c r="A23" s="1"/>
      <c r="B23" s="1"/>
      <c r="C23" s="1"/>
      <c r="D23" s="1"/>
      <c r="E23" s="1"/>
      <c r="F23" s="1"/>
    </row>
    <row r="24" spans="1:6" ht="26.1" customHeight="1">
      <c r="A24" s="1"/>
      <c r="B24" s="1"/>
      <c r="C24" s="1"/>
      <c r="D24" s="1"/>
      <c r="E24" s="1"/>
      <c r="F24" s="1"/>
    </row>
    <row r="25" spans="1:6" ht="26.1" customHeight="1">
      <c r="A25" s="1"/>
      <c r="B25" s="1"/>
      <c r="C25" s="1"/>
      <c r="D25" s="1"/>
      <c r="E25" s="1"/>
      <c r="F25" s="1"/>
    </row>
    <row r="26" spans="1:6" ht="26.1" customHeight="1">
      <c r="A26" s="1"/>
      <c r="B26" s="1"/>
      <c r="C26" s="1"/>
      <c r="D26" s="1"/>
      <c r="E26" s="1"/>
      <c r="F26" s="1"/>
    </row>
    <row r="27" spans="1:6" ht="26.1" customHeight="1">
      <c r="A27" s="1"/>
      <c r="B27" s="1"/>
      <c r="C27" s="1"/>
      <c r="D27" s="1"/>
      <c r="E27" s="1"/>
      <c r="F27" s="1"/>
    </row>
    <row r="28" spans="1:6" ht="26.1" customHeight="1">
      <c r="A28" s="11" t="s">
        <v>29</v>
      </c>
      <c r="B28" s="1"/>
      <c r="C28" s="1"/>
      <c r="D28" s="1"/>
      <c r="E28" s="1"/>
      <c r="F28" s="1"/>
    </row>
    <row r="29" spans="1:6" ht="26.1" customHeight="1">
      <c r="A29" s="1"/>
      <c r="B29" s="1"/>
      <c r="C29" s="1"/>
      <c r="D29" s="1"/>
      <c r="E29" s="1"/>
      <c r="F29" s="1"/>
    </row>
    <row r="30" spans="1:6" ht="26.1" customHeight="1">
      <c r="A30" s="1" t="s">
        <v>30</v>
      </c>
      <c r="B30" s="1"/>
      <c r="C30" s="1"/>
      <c r="D30" s="1"/>
      <c r="E30" s="1"/>
      <c r="F30" s="1"/>
    </row>
    <row r="31" spans="1:6" ht="26.1" customHeight="1">
      <c r="A31" s="13" t="s">
        <v>31</v>
      </c>
      <c r="B31" s="1"/>
      <c r="C31" s="1"/>
      <c r="D31" s="1"/>
      <c r="E31" s="1"/>
      <c r="F31" s="1"/>
    </row>
    <row r="32" spans="1:6" ht="26.1" customHeight="1">
      <c r="A32" s="1" t="s">
        <v>32</v>
      </c>
      <c r="B32" s="1"/>
      <c r="C32" s="1"/>
      <c r="D32" s="1"/>
      <c r="E32" s="1"/>
      <c r="F32" s="1"/>
    </row>
    <row r="33" spans="1:6" ht="26.1" customHeight="1">
      <c r="A33" s="1"/>
      <c r="B33" s="1"/>
      <c r="C33" s="1"/>
      <c r="D33" s="1"/>
      <c r="E33" s="1"/>
      <c r="F33" s="1"/>
    </row>
    <row r="34" spans="1:6" ht="26.1" customHeight="1">
      <c r="A34" s="1"/>
      <c r="B34" s="1"/>
      <c r="C34" s="1"/>
      <c r="D34" s="1"/>
      <c r="E34" s="1"/>
      <c r="F34" s="1"/>
    </row>
    <row r="35" spans="1:6" ht="26.1" customHeight="1">
      <c r="A35" s="1"/>
      <c r="B35" s="1"/>
      <c r="C35" s="1"/>
      <c r="D35" s="1"/>
      <c r="E35" s="1"/>
      <c r="F35" s="1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F35"/>
  <sheetViews>
    <sheetView showGridLines="0" workbookViewId="0"/>
  </sheetViews>
  <sheetFormatPr defaultRowHeight="14.25"/>
  <cols>
    <col min="1" max="1" width="22" customWidth="1"/>
    <col min="2" max="5" width="23" customWidth="1"/>
    <col min="6" max="6" width="24" customWidth="1"/>
  </cols>
  <sheetData>
    <row r="1" spans="1:6" ht="26.1" customHeight="1">
      <c r="A1" s="1"/>
      <c r="B1" s="1"/>
      <c r="C1" s="1"/>
      <c r="D1" s="1"/>
      <c r="E1" s="1"/>
      <c r="F1" s="1"/>
    </row>
    <row r="2" spans="1:6" ht="26.1" customHeight="1">
      <c r="A2" s="2" t="s">
        <v>12</v>
      </c>
      <c r="B2" s="1"/>
      <c r="C2" s="1"/>
      <c r="D2" s="1"/>
      <c r="E2" s="1"/>
      <c r="F2" s="1"/>
    </row>
    <row r="3" spans="1:6" ht="26.1" customHeight="1">
      <c r="A3" s="3" t="s">
        <v>21</v>
      </c>
      <c r="B3" s="1"/>
      <c r="C3" s="1"/>
      <c r="D3" s="1"/>
      <c r="E3" s="1"/>
      <c r="F3" s="1"/>
    </row>
    <row r="4" spans="1:6" ht="26.1" customHeight="1">
      <c r="A4" s="1" t="s">
        <v>33</v>
      </c>
      <c r="B4" s="1"/>
      <c r="C4" s="1"/>
      <c r="D4" s="1"/>
      <c r="E4" s="1"/>
      <c r="F4" s="1"/>
    </row>
    <row r="5" spans="1:6" ht="26.1" customHeight="1">
      <c r="A5" s="11" t="s">
        <v>23</v>
      </c>
      <c r="B5" s="1"/>
      <c r="C5" s="1"/>
      <c r="D5" s="1"/>
      <c r="E5" s="1"/>
      <c r="F5" s="1"/>
    </row>
    <row r="6" spans="1:6" ht="26.1" customHeight="1">
      <c r="A6" s="1"/>
      <c r="B6" s="1"/>
      <c r="C6" s="1"/>
      <c r="D6" s="1"/>
      <c r="E6" s="1"/>
      <c r="F6" s="1"/>
    </row>
    <row r="7" spans="1:6" ht="30" customHeight="1">
      <c r="A7" s="4" t="s">
        <v>24</v>
      </c>
      <c r="B7" s="4" t="s">
        <v>25</v>
      </c>
      <c r="C7" s="4" t="s">
        <v>26</v>
      </c>
      <c r="D7" s="4" t="s">
        <v>27</v>
      </c>
      <c r="E7" s="1"/>
      <c r="F7" s="1"/>
    </row>
    <row r="8" spans="1:6" ht="33.950000000000003" customHeight="1">
      <c r="A8" s="1" t="s">
        <v>28</v>
      </c>
      <c r="B8" s="9">
        <f>样本图索引!E8</f>
        <v>8930</v>
      </c>
      <c r="C8" s="12">
        <f>B8/样本图索引!E8</f>
        <v>1</v>
      </c>
      <c r="D8" s="1" t="str">
        <f>A8&amp;" "&amp;TEXT(C8,"0%")&amp;"（样本）"</f>
        <v>哥伦比亚 100%（样本）</v>
      </c>
      <c r="E8" s="1"/>
      <c r="F8" s="1"/>
    </row>
    <row r="9" spans="1:6" ht="26.1" customHeight="1">
      <c r="A9" s="1"/>
      <c r="B9" s="1"/>
      <c r="C9" s="1"/>
      <c r="D9" s="1"/>
      <c r="E9" s="1"/>
      <c r="F9" s="1"/>
    </row>
    <row r="10" spans="1:6" ht="26.1" customHeight="1">
      <c r="A10" s="1"/>
      <c r="B10" s="1"/>
      <c r="C10" s="1"/>
      <c r="D10" s="1"/>
      <c r="E10" s="1"/>
      <c r="F10" s="1"/>
    </row>
    <row r="11" spans="1:6" ht="26.1" customHeight="1">
      <c r="A11" s="1"/>
      <c r="B11" s="1"/>
      <c r="C11" s="1"/>
      <c r="D11" s="1"/>
      <c r="E11" s="1"/>
      <c r="F11" s="1"/>
    </row>
    <row r="12" spans="1:6" ht="26.1" customHeight="1">
      <c r="A12" s="1"/>
      <c r="B12" s="1"/>
      <c r="C12" s="1"/>
      <c r="D12" s="1"/>
      <c r="E12" s="1"/>
      <c r="F12" s="1"/>
    </row>
    <row r="13" spans="1:6" ht="26.1" customHeight="1">
      <c r="A13" s="1"/>
      <c r="B13" s="1"/>
      <c r="C13" s="1"/>
      <c r="D13" s="1"/>
      <c r="E13" s="1"/>
      <c r="F13" s="1"/>
    </row>
    <row r="14" spans="1:6" ht="26.1" customHeight="1">
      <c r="A14" s="1"/>
      <c r="B14" s="1"/>
      <c r="C14" s="1"/>
      <c r="D14" s="1"/>
      <c r="E14" s="1"/>
      <c r="F14" s="1"/>
    </row>
    <row r="15" spans="1:6" ht="26.1" customHeight="1">
      <c r="A15" s="1"/>
      <c r="B15" s="1"/>
      <c r="C15" s="1"/>
      <c r="D15" s="1"/>
      <c r="E15" s="1"/>
      <c r="F15" s="1"/>
    </row>
    <row r="16" spans="1:6" ht="26.1" customHeight="1">
      <c r="A16" s="1"/>
      <c r="B16" s="1"/>
      <c r="C16" s="1"/>
      <c r="D16" s="1"/>
      <c r="E16" s="1"/>
      <c r="F16" s="1"/>
    </row>
    <row r="17" spans="1:6" ht="26.1" customHeight="1">
      <c r="A17" s="1"/>
      <c r="B17" s="1"/>
      <c r="C17" s="1"/>
      <c r="D17" s="1"/>
      <c r="E17" s="1"/>
      <c r="F17" s="1"/>
    </row>
    <row r="18" spans="1:6" ht="26.1" customHeight="1">
      <c r="A18" s="1"/>
      <c r="B18" s="1"/>
      <c r="C18" s="1"/>
      <c r="D18" s="1"/>
      <c r="E18" s="1"/>
      <c r="F18" s="1"/>
    </row>
    <row r="19" spans="1:6" ht="26.1" customHeight="1">
      <c r="A19" s="1"/>
      <c r="B19" s="1"/>
      <c r="C19" s="1"/>
      <c r="D19" s="1"/>
      <c r="E19" s="1"/>
      <c r="F19" s="1"/>
    </row>
    <row r="20" spans="1:6" ht="26.1" customHeight="1">
      <c r="A20" s="1"/>
      <c r="B20" s="1"/>
      <c r="C20" s="1"/>
      <c r="D20" s="1"/>
      <c r="E20" s="1"/>
      <c r="F20" s="1"/>
    </row>
    <row r="21" spans="1:6" ht="26.1" customHeight="1">
      <c r="A21" s="1"/>
      <c r="B21" s="1"/>
      <c r="C21" s="1"/>
      <c r="D21" s="1"/>
      <c r="E21" s="1"/>
      <c r="F21" s="1"/>
    </row>
    <row r="22" spans="1:6" ht="26.1" customHeight="1">
      <c r="A22" s="1"/>
      <c r="B22" s="1"/>
      <c r="C22" s="1"/>
      <c r="D22" s="1"/>
      <c r="E22" s="1"/>
      <c r="F22" s="1"/>
    </row>
    <row r="23" spans="1:6" ht="26.1" customHeight="1">
      <c r="A23" s="1"/>
      <c r="B23" s="1"/>
      <c r="C23" s="1"/>
      <c r="D23" s="1"/>
      <c r="E23" s="1"/>
      <c r="F23" s="1"/>
    </row>
    <row r="24" spans="1:6" ht="26.1" customHeight="1">
      <c r="A24" s="1"/>
      <c r="B24" s="1"/>
      <c r="C24" s="1"/>
      <c r="D24" s="1"/>
      <c r="E24" s="1"/>
      <c r="F24" s="1"/>
    </row>
    <row r="25" spans="1:6" ht="26.1" customHeight="1">
      <c r="A25" s="1"/>
      <c r="B25" s="1"/>
      <c r="C25" s="1"/>
      <c r="D25" s="1"/>
      <c r="E25" s="1"/>
      <c r="F25" s="1"/>
    </row>
    <row r="26" spans="1:6" ht="26.1" customHeight="1">
      <c r="A26" s="1"/>
      <c r="B26" s="1"/>
      <c r="C26" s="1"/>
      <c r="D26" s="1"/>
      <c r="E26" s="1"/>
      <c r="F26" s="1"/>
    </row>
    <row r="27" spans="1:6" ht="26.1" customHeight="1">
      <c r="A27" s="1"/>
      <c r="B27" s="1"/>
      <c r="C27" s="1"/>
      <c r="D27" s="1"/>
      <c r="E27" s="1"/>
      <c r="F27" s="1"/>
    </row>
    <row r="28" spans="1:6" ht="26.1" customHeight="1">
      <c r="A28" s="11" t="s">
        <v>29</v>
      </c>
      <c r="B28" s="1"/>
      <c r="C28" s="1"/>
      <c r="D28" s="1"/>
      <c r="E28" s="1"/>
      <c r="F28" s="1"/>
    </row>
    <row r="29" spans="1:6" ht="26.1" customHeight="1">
      <c r="A29" s="1"/>
      <c r="B29" s="1"/>
      <c r="C29" s="1"/>
      <c r="D29" s="1"/>
      <c r="E29" s="1"/>
      <c r="F29" s="1"/>
    </row>
    <row r="30" spans="1:6" ht="26.1" customHeight="1">
      <c r="A30" s="1" t="s">
        <v>34</v>
      </c>
      <c r="B30" s="1"/>
      <c r="C30" s="1"/>
      <c r="D30" s="1"/>
      <c r="E30" s="1"/>
      <c r="F30" s="1"/>
    </row>
    <row r="31" spans="1:6" ht="26.1" customHeight="1">
      <c r="A31" s="13" t="s">
        <v>35</v>
      </c>
      <c r="B31" s="1"/>
      <c r="C31" s="1"/>
      <c r="D31" s="1"/>
      <c r="E31" s="1"/>
      <c r="F31" s="1"/>
    </row>
    <row r="32" spans="1:6" ht="26.1" customHeight="1">
      <c r="A32" s="1" t="s">
        <v>32</v>
      </c>
      <c r="B32" s="1"/>
      <c r="C32" s="1"/>
      <c r="D32" s="1"/>
      <c r="E32" s="1"/>
      <c r="F32" s="1"/>
    </row>
    <row r="33" spans="1:6" ht="26.1" customHeight="1">
      <c r="A33" s="1"/>
      <c r="B33" s="1"/>
      <c r="C33" s="1"/>
      <c r="D33" s="1"/>
      <c r="E33" s="1"/>
      <c r="F33" s="1"/>
    </row>
    <row r="34" spans="1:6" ht="26.1" customHeight="1">
      <c r="A34" s="1"/>
      <c r="B34" s="1"/>
      <c r="C34" s="1"/>
      <c r="D34" s="1"/>
      <c r="E34" s="1"/>
      <c r="F34" s="1"/>
    </row>
    <row r="35" spans="1:6" ht="26.1" customHeight="1">
      <c r="A35" s="1"/>
      <c r="B35" s="1"/>
      <c r="C35" s="1"/>
      <c r="D35" s="1"/>
      <c r="E35" s="1"/>
      <c r="F35" s="1"/>
    </row>
  </sheetData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65D"/>
  </sheetPr>
  <dimension ref="A1:F35"/>
  <sheetViews>
    <sheetView showGridLines="0" workbookViewId="0"/>
  </sheetViews>
  <sheetFormatPr defaultRowHeight="14.25"/>
  <cols>
    <col min="1" max="1" width="22" customWidth="1"/>
    <col min="2" max="5" width="23" customWidth="1"/>
    <col min="6" max="6" width="24" customWidth="1"/>
  </cols>
  <sheetData>
    <row r="1" spans="1:6" ht="26.1" customHeight="1">
      <c r="A1" s="1"/>
      <c r="B1" s="1"/>
      <c r="C1" s="1"/>
      <c r="D1" s="1"/>
      <c r="E1" s="1"/>
      <c r="F1" s="1"/>
    </row>
    <row r="2" spans="1:6" ht="26.1" customHeight="1">
      <c r="A2" s="2" t="s">
        <v>14</v>
      </c>
      <c r="B2" s="1"/>
      <c r="C2" s="1"/>
      <c r="D2" s="1"/>
      <c r="E2" s="1"/>
      <c r="F2" s="1"/>
    </row>
    <row r="3" spans="1:6" ht="26.1" customHeight="1">
      <c r="A3" s="3" t="s">
        <v>36</v>
      </c>
      <c r="B3" s="1"/>
      <c r="C3" s="1"/>
      <c r="D3" s="1"/>
      <c r="E3" s="1"/>
      <c r="F3" s="1"/>
    </row>
    <row r="4" spans="1:6" ht="26.1" customHeight="1">
      <c r="A4" s="1" t="s">
        <v>37</v>
      </c>
      <c r="B4" s="1"/>
      <c r="C4" s="1"/>
      <c r="D4" s="1"/>
      <c r="E4" s="1"/>
      <c r="F4" s="1"/>
    </row>
    <row r="5" spans="1:6" ht="26.1" customHeight="1">
      <c r="A5" s="11" t="s">
        <v>23</v>
      </c>
      <c r="B5" s="1"/>
      <c r="C5" s="1"/>
      <c r="D5" s="1"/>
      <c r="E5" s="1"/>
      <c r="F5" s="1"/>
    </row>
    <row r="6" spans="1:6" ht="26.1" customHeight="1">
      <c r="A6" s="1"/>
      <c r="B6" s="1"/>
      <c r="C6" s="1"/>
      <c r="D6" s="1"/>
      <c r="E6" s="1"/>
      <c r="F6" s="1"/>
    </row>
    <row r="7" spans="1:6" ht="30" customHeight="1">
      <c r="A7" s="4" t="s">
        <v>24</v>
      </c>
      <c r="B7" s="4" t="s">
        <v>25</v>
      </c>
      <c r="C7" s="4" t="s">
        <v>26</v>
      </c>
      <c r="D7" s="4" t="s">
        <v>27</v>
      </c>
      <c r="E7" s="1"/>
      <c r="F7" s="1"/>
    </row>
    <row r="8" spans="1:6" ht="33.950000000000003" customHeight="1">
      <c r="A8" s="1" t="s">
        <v>28</v>
      </c>
      <c r="B8" s="9">
        <f>样本图索引!E9</f>
        <v>8477.1299999999992</v>
      </c>
      <c r="C8" s="12">
        <f>B8/样本图索引!E9</f>
        <v>1</v>
      </c>
      <c r="D8" s="1" t="str">
        <f>A8&amp;" "&amp;TEXT(C8,"0%")&amp;"（样本）"</f>
        <v>哥伦比亚 100%（样本）</v>
      </c>
      <c r="E8" s="1"/>
      <c r="F8" s="1"/>
    </row>
    <row r="9" spans="1:6" ht="26.1" customHeight="1">
      <c r="A9" s="1"/>
      <c r="B9" s="1"/>
      <c r="C9" s="1"/>
      <c r="D9" s="1"/>
      <c r="E9" s="1"/>
      <c r="F9" s="1"/>
    </row>
    <row r="10" spans="1:6" ht="26.1" customHeight="1">
      <c r="A10" s="1"/>
      <c r="B10" s="1"/>
      <c r="C10" s="1"/>
      <c r="D10" s="1"/>
      <c r="E10" s="1"/>
      <c r="F10" s="1"/>
    </row>
    <row r="11" spans="1:6" ht="26.1" customHeight="1">
      <c r="A11" s="1"/>
      <c r="B11" s="1"/>
      <c r="C11" s="1"/>
      <c r="D11" s="1"/>
      <c r="E11" s="1"/>
      <c r="F11" s="1"/>
    </row>
    <row r="12" spans="1:6" ht="26.1" customHeight="1">
      <c r="A12" s="1"/>
      <c r="B12" s="1"/>
      <c r="C12" s="1"/>
      <c r="D12" s="1"/>
      <c r="E12" s="1"/>
      <c r="F12" s="1"/>
    </row>
    <row r="13" spans="1:6" ht="26.1" customHeight="1">
      <c r="A13" s="1"/>
      <c r="B13" s="1"/>
      <c r="C13" s="1"/>
      <c r="D13" s="1"/>
      <c r="E13" s="1"/>
      <c r="F13" s="1"/>
    </row>
    <row r="14" spans="1:6" ht="26.1" customHeight="1">
      <c r="A14" s="1"/>
      <c r="B14" s="1"/>
      <c r="C14" s="1"/>
      <c r="D14" s="1"/>
      <c r="E14" s="1"/>
      <c r="F14" s="1"/>
    </row>
    <row r="15" spans="1:6" ht="26.1" customHeight="1">
      <c r="A15" s="1"/>
      <c r="B15" s="1"/>
      <c r="C15" s="1"/>
      <c r="D15" s="1"/>
      <c r="E15" s="1"/>
      <c r="F15" s="1"/>
    </row>
    <row r="16" spans="1:6" ht="26.1" customHeight="1">
      <c r="A16" s="1"/>
      <c r="B16" s="1"/>
      <c r="C16" s="1"/>
      <c r="D16" s="1"/>
      <c r="E16" s="1"/>
      <c r="F16" s="1"/>
    </row>
    <row r="17" spans="1:6" ht="26.1" customHeight="1">
      <c r="A17" s="1"/>
      <c r="B17" s="1"/>
      <c r="C17" s="1"/>
      <c r="D17" s="1"/>
      <c r="E17" s="1"/>
      <c r="F17" s="1"/>
    </row>
    <row r="18" spans="1:6" ht="26.1" customHeight="1">
      <c r="A18" s="1"/>
      <c r="B18" s="1"/>
      <c r="C18" s="1"/>
      <c r="D18" s="1"/>
      <c r="E18" s="1"/>
      <c r="F18" s="1"/>
    </row>
    <row r="19" spans="1:6" ht="26.1" customHeight="1">
      <c r="A19" s="1"/>
      <c r="B19" s="1"/>
      <c r="C19" s="1"/>
      <c r="D19" s="1"/>
      <c r="E19" s="1"/>
      <c r="F19" s="1"/>
    </row>
    <row r="20" spans="1:6" ht="26.1" customHeight="1">
      <c r="A20" s="1"/>
      <c r="B20" s="1"/>
      <c r="C20" s="1"/>
      <c r="D20" s="1"/>
      <c r="E20" s="1"/>
      <c r="F20" s="1"/>
    </row>
    <row r="21" spans="1:6" ht="26.1" customHeight="1">
      <c r="A21" s="1"/>
      <c r="B21" s="1"/>
      <c r="C21" s="1"/>
      <c r="D21" s="1"/>
      <c r="E21" s="1"/>
      <c r="F21" s="1"/>
    </row>
    <row r="22" spans="1:6" ht="26.1" customHeight="1">
      <c r="A22" s="1"/>
      <c r="B22" s="1"/>
      <c r="C22" s="1"/>
      <c r="D22" s="1"/>
      <c r="E22" s="1"/>
      <c r="F22" s="1"/>
    </row>
    <row r="23" spans="1:6" ht="26.1" customHeight="1">
      <c r="A23" s="1"/>
      <c r="B23" s="1"/>
      <c r="C23" s="1"/>
      <c r="D23" s="1"/>
      <c r="E23" s="1"/>
      <c r="F23" s="1"/>
    </row>
    <row r="24" spans="1:6" ht="26.1" customHeight="1">
      <c r="A24" s="1"/>
      <c r="B24" s="1"/>
      <c r="C24" s="1"/>
      <c r="D24" s="1"/>
      <c r="E24" s="1"/>
      <c r="F24" s="1"/>
    </row>
    <row r="25" spans="1:6" ht="26.1" customHeight="1">
      <c r="A25" s="1"/>
      <c r="B25" s="1"/>
      <c r="C25" s="1"/>
      <c r="D25" s="1"/>
      <c r="E25" s="1"/>
      <c r="F25" s="1"/>
    </row>
    <row r="26" spans="1:6" ht="26.1" customHeight="1">
      <c r="A26" s="1"/>
      <c r="B26" s="1"/>
      <c r="C26" s="1"/>
      <c r="D26" s="1"/>
      <c r="E26" s="1"/>
      <c r="F26" s="1"/>
    </row>
    <row r="27" spans="1:6" ht="26.1" customHeight="1">
      <c r="A27" s="1"/>
      <c r="B27" s="1"/>
      <c r="C27" s="1"/>
      <c r="D27" s="1"/>
      <c r="E27" s="1"/>
      <c r="F27" s="1"/>
    </row>
    <row r="28" spans="1:6" ht="26.1" customHeight="1">
      <c r="A28" s="11" t="s">
        <v>29</v>
      </c>
      <c r="B28" s="1"/>
      <c r="C28" s="1"/>
      <c r="D28" s="1"/>
      <c r="E28" s="1"/>
      <c r="F28" s="1"/>
    </row>
    <row r="29" spans="1:6" ht="26.1" customHeight="1">
      <c r="A29" s="1"/>
      <c r="B29" s="1"/>
      <c r="C29" s="1"/>
      <c r="D29" s="1"/>
      <c r="E29" s="1"/>
      <c r="F29" s="1"/>
    </row>
    <row r="30" spans="1:6" ht="26.1" customHeight="1">
      <c r="A30" s="1" t="s">
        <v>30</v>
      </c>
      <c r="B30" s="1"/>
      <c r="C30" s="1"/>
      <c r="D30" s="1"/>
      <c r="E30" s="1"/>
      <c r="F30" s="1"/>
    </row>
    <row r="31" spans="1:6" ht="26.1" customHeight="1">
      <c r="A31" s="13" t="s">
        <v>38</v>
      </c>
      <c r="B31" s="1"/>
      <c r="C31" s="1"/>
      <c r="D31" s="1"/>
      <c r="E31" s="1"/>
      <c r="F31" s="1"/>
    </row>
    <row r="32" spans="1:6" ht="26.1" customHeight="1">
      <c r="A32" s="1" t="s">
        <v>32</v>
      </c>
      <c r="B32" s="1"/>
      <c r="C32" s="1"/>
      <c r="D32" s="1"/>
      <c r="E32" s="1"/>
      <c r="F32" s="1"/>
    </row>
    <row r="33" spans="1:6" ht="26.1" customHeight="1">
      <c r="A33" s="1"/>
      <c r="B33" s="1"/>
      <c r="C33" s="1"/>
      <c r="D33" s="1"/>
      <c r="E33" s="1"/>
      <c r="F33" s="1"/>
    </row>
    <row r="34" spans="1:6" ht="26.1" customHeight="1">
      <c r="A34" s="1"/>
      <c r="B34" s="1"/>
      <c r="C34" s="1"/>
      <c r="D34" s="1"/>
      <c r="E34" s="1"/>
      <c r="F34" s="1"/>
    </row>
    <row r="35" spans="1:6" ht="26.1" customHeight="1">
      <c r="A35" s="1"/>
      <c r="B35" s="1"/>
      <c r="C35" s="1"/>
      <c r="D35" s="1"/>
      <c r="E35" s="1"/>
      <c r="F35" s="1"/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65D"/>
  </sheetPr>
  <dimension ref="A1:L3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44" customWidth="1"/>
    <col min="2" max="2" width="46" customWidth="1"/>
    <col min="3" max="3" width="18" customWidth="1"/>
    <col min="4" max="4" width="12" customWidth="1"/>
    <col min="5" max="5" width="18" customWidth="1"/>
    <col min="6" max="6" width="20" customWidth="1"/>
    <col min="7" max="7" width="46" customWidth="1"/>
    <col min="8" max="8" width="24" customWidth="1"/>
    <col min="9" max="9" width="45" customWidth="1"/>
    <col min="10" max="10" width="88" customWidth="1"/>
    <col min="11" max="11" width="60" customWidth="1"/>
    <col min="12" max="12" width="65" customWidth="1"/>
  </cols>
  <sheetData>
    <row r="1" spans="1:12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6.1" customHeight="1">
      <c r="A2" s="2" t="s">
        <v>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6.1" customHeight="1">
      <c r="A3" s="3" t="s">
        <v>40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6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0" customHeight="1">
      <c r="A6" s="4" t="s">
        <v>41</v>
      </c>
      <c r="B6" s="4" t="s">
        <v>42</v>
      </c>
      <c r="C6" s="4" t="s">
        <v>43</v>
      </c>
      <c r="D6" s="4" t="s">
        <v>3</v>
      </c>
      <c r="E6" s="4" t="s">
        <v>24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4" t="s">
        <v>49</v>
      </c>
      <c r="L6" s="4" t="s">
        <v>50</v>
      </c>
    </row>
    <row r="7" spans="1:12" ht="68.099999999999994" customHeight="1">
      <c r="A7" s="5" t="s">
        <v>10</v>
      </c>
      <c r="B7" s="5" t="s">
        <v>10</v>
      </c>
      <c r="C7" s="6">
        <v>45803</v>
      </c>
      <c r="D7" s="5">
        <v>2025</v>
      </c>
      <c r="E7" s="5" t="s">
        <v>28</v>
      </c>
      <c r="F7" s="5" t="s">
        <v>51</v>
      </c>
      <c r="G7" s="5" t="s">
        <v>52</v>
      </c>
      <c r="H7" s="7">
        <v>775.63</v>
      </c>
      <c r="I7" s="5" t="s">
        <v>53</v>
      </c>
      <c r="J7" s="5" t="s">
        <v>31</v>
      </c>
      <c r="K7" s="5" t="s">
        <v>54</v>
      </c>
      <c r="L7" s="5" t="s">
        <v>55</v>
      </c>
    </row>
    <row r="8" spans="1:12" ht="68.099999999999994" customHeight="1">
      <c r="A8" s="5" t="s">
        <v>12</v>
      </c>
      <c r="B8" s="5" t="s">
        <v>56</v>
      </c>
      <c r="C8" s="6">
        <v>45869</v>
      </c>
      <c r="D8" s="5">
        <v>2025</v>
      </c>
      <c r="E8" s="5" t="s">
        <v>28</v>
      </c>
      <c r="F8" s="5" t="s">
        <v>57</v>
      </c>
      <c r="G8" s="5" t="s">
        <v>58</v>
      </c>
      <c r="H8" s="7">
        <v>8930</v>
      </c>
      <c r="I8" s="5" t="s">
        <v>59</v>
      </c>
      <c r="J8" s="5" t="s">
        <v>35</v>
      </c>
      <c r="K8" s="5" t="s">
        <v>60</v>
      </c>
      <c r="L8" s="5" t="s">
        <v>61</v>
      </c>
    </row>
    <row r="9" spans="1:12" ht="68.099999999999994" customHeight="1">
      <c r="A9" s="5" t="s">
        <v>14</v>
      </c>
      <c r="B9" s="5" t="s">
        <v>62</v>
      </c>
      <c r="C9" s="6">
        <v>46090</v>
      </c>
      <c r="D9" s="5">
        <v>2026</v>
      </c>
      <c r="E9" s="5" t="s">
        <v>28</v>
      </c>
      <c r="F9" s="5" t="s">
        <v>63</v>
      </c>
      <c r="G9" s="5" t="s">
        <v>64</v>
      </c>
      <c r="H9" s="7">
        <v>8477.1299999999992</v>
      </c>
      <c r="I9" s="5" t="s">
        <v>65</v>
      </c>
      <c r="J9" s="5" t="s">
        <v>38</v>
      </c>
      <c r="K9" s="5" t="s">
        <v>54</v>
      </c>
      <c r="L9" s="5" t="s">
        <v>66</v>
      </c>
    </row>
    <row r="10" spans="1:12" ht="26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6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6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6.1" customHeight="1">
      <c r="A13" s="1" t="s">
        <v>67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6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78" customHeight="1">
      <c r="A15" s="8" t="s">
        <v>68</v>
      </c>
      <c r="B15" s="14" t="s">
        <v>69</v>
      </c>
      <c r="C15" s="14"/>
      <c r="D15" s="14"/>
      <c r="E15" s="1"/>
      <c r="F15" s="1"/>
      <c r="G15" s="1"/>
      <c r="H15" s="1"/>
      <c r="I15" s="1"/>
      <c r="J15" s="1"/>
      <c r="K15" s="1"/>
      <c r="L15" s="1"/>
    </row>
    <row r="16" spans="1:12" ht="78" customHeight="1">
      <c r="A16" s="8" t="s">
        <v>70</v>
      </c>
      <c r="B16" s="14" t="s">
        <v>71</v>
      </c>
      <c r="C16" s="14"/>
      <c r="D16" s="14"/>
      <c r="E16" s="1"/>
      <c r="F16" s="1"/>
      <c r="G16" s="1"/>
      <c r="H16" s="1"/>
      <c r="I16" s="1"/>
      <c r="J16" s="1"/>
      <c r="K16" s="1"/>
      <c r="L16" s="1"/>
    </row>
    <row r="17" spans="1:12" ht="78" customHeight="1">
      <c r="A17" s="8" t="s">
        <v>3</v>
      </c>
      <c r="B17" s="14" t="s">
        <v>72</v>
      </c>
      <c r="C17" s="14"/>
      <c r="D17" s="14"/>
      <c r="E17" s="1"/>
      <c r="F17" s="1"/>
      <c r="G17" s="1"/>
      <c r="H17" s="1"/>
      <c r="I17" s="1"/>
      <c r="J17" s="1"/>
      <c r="K17" s="1"/>
      <c r="L17" s="1"/>
    </row>
    <row r="18" spans="1:12" ht="78" customHeight="1">
      <c r="A18" s="8" t="s">
        <v>73</v>
      </c>
      <c r="B18" s="14" t="s">
        <v>74</v>
      </c>
      <c r="C18" s="14"/>
      <c r="D18" s="14"/>
      <c r="E18" s="1"/>
      <c r="F18" s="1"/>
      <c r="G18" s="1"/>
      <c r="H18" s="1"/>
      <c r="I18" s="1"/>
      <c r="J18" s="1"/>
      <c r="K18" s="1"/>
      <c r="L18" s="1"/>
    </row>
    <row r="19" spans="1:12" ht="78" customHeight="1">
      <c r="A19" s="8" t="s">
        <v>75</v>
      </c>
      <c r="B19" s="14" t="s">
        <v>76</v>
      </c>
      <c r="C19" s="14"/>
      <c r="D19" s="14"/>
      <c r="E19" s="1"/>
      <c r="F19" s="1"/>
      <c r="G19" s="1"/>
      <c r="H19" s="1"/>
      <c r="I19" s="1"/>
      <c r="J19" s="1"/>
      <c r="K19" s="1"/>
      <c r="L19" s="1"/>
    </row>
    <row r="20" spans="1:12" ht="78" customHeight="1">
      <c r="A20" s="8" t="s">
        <v>77</v>
      </c>
      <c r="B20" s="14" t="s">
        <v>78</v>
      </c>
      <c r="C20" s="14"/>
      <c r="D20" s="14"/>
      <c r="E20" s="1"/>
      <c r="F20" s="1"/>
      <c r="G20" s="1"/>
      <c r="H20" s="1"/>
      <c r="I20" s="1"/>
      <c r="J20" s="1"/>
      <c r="K20" s="1"/>
      <c r="L20" s="1"/>
    </row>
    <row r="21" spans="1:12" ht="78" customHeight="1">
      <c r="A21" s="8" t="s">
        <v>79</v>
      </c>
      <c r="B21" s="14" t="s">
        <v>80</v>
      </c>
      <c r="C21" s="14"/>
      <c r="D21" s="14"/>
      <c r="E21" s="1"/>
      <c r="F21" s="1"/>
      <c r="G21" s="1"/>
      <c r="H21" s="1"/>
      <c r="I21" s="1"/>
      <c r="J21" s="1"/>
      <c r="K21" s="1"/>
      <c r="L21" s="1"/>
    </row>
    <row r="22" spans="1:12" ht="78" customHeight="1">
      <c r="A22" s="8" t="s">
        <v>81</v>
      </c>
      <c r="B22" s="14" t="s">
        <v>82</v>
      </c>
      <c r="C22" s="14"/>
      <c r="D22" s="14"/>
      <c r="E22" s="1"/>
      <c r="F22" s="1"/>
      <c r="G22" s="1"/>
      <c r="H22" s="1"/>
      <c r="I22" s="1"/>
      <c r="J22" s="1"/>
      <c r="K22" s="1"/>
      <c r="L22" s="1"/>
    </row>
    <row r="23" spans="1:12" ht="78" customHeight="1">
      <c r="A23" s="8" t="s">
        <v>83</v>
      </c>
      <c r="B23" s="14" t="s">
        <v>84</v>
      </c>
      <c r="C23" s="14"/>
      <c r="D23" s="14"/>
      <c r="E23" s="1"/>
      <c r="F23" s="1"/>
      <c r="G23" s="1"/>
      <c r="H23" s="1"/>
      <c r="I23" s="1"/>
      <c r="J23" s="1"/>
      <c r="K23" s="1"/>
      <c r="L23" s="1"/>
    </row>
    <row r="24" spans="1:12" ht="78" customHeight="1">
      <c r="A24" s="8" t="s">
        <v>85</v>
      </c>
      <c r="B24" s="14" t="s">
        <v>86</v>
      </c>
      <c r="C24" s="14"/>
      <c r="D24" s="14"/>
      <c r="E24" s="1"/>
      <c r="F24" s="1"/>
      <c r="G24" s="1"/>
      <c r="H24" s="1"/>
      <c r="I24" s="1"/>
      <c r="J24" s="1"/>
      <c r="K24" s="1"/>
      <c r="L24" s="1"/>
    </row>
    <row r="25" spans="1:12" ht="26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6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6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6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0"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</mergeCells>
  <phoneticPr fontId="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样本图索引</vt:lpstr>
      <vt:lpstr>2025_SGON</vt:lpstr>
      <vt:lpstr>2025_天津银河</vt:lpstr>
      <vt:lpstr>2026_公元管道</vt:lpstr>
      <vt:lpstr>交易明细与来源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beautiful25189@qq.com</cp:lastModifiedBy>
  <dcterms:modified xsi:type="dcterms:W3CDTF">2026-10-14T10:13:40Z</dcterms:modified>
</cp:coreProperties>
</file>